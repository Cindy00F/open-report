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cs.philips.com/personal/cindy_fan_philips_com/Documents/桌面/"/>
    </mc:Choice>
  </mc:AlternateContent>
  <xr:revisionPtr revIDLastSave="4" documentId="13_ncr:1_{BFA10D57-9039-4861-A567-8748FB982286}" xr6:coauthVersionLast="47" xr6:coauthVersionMax="47" xr10:uidLastSave="{B74A9723-74B4-4A03-A6BA-29F9F0E1E3FD}"/>
  <bookViews>
    <workbookView xWindow="-108" yWindow="-108" windowWidth="23256" windowHeight="12456" xr2:uid="{BBA89570-95E2-407C-B1F5-624E6F7C8F12}"/>
  </bookViews>
  <sheets>
    <sheet name="Sheet1" sheetId="1" r:id="rId1"/>
    <sheet name="税额速算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2" l="1"/>
  <c r="J13" i="2" s="1"/>
  <c r="J8" i="1"/>
  <c r="J7" i="1"/>
  <c r="C16" i="1"/>
  <c r="D16" i="1"/>
  <c r="B16" i="1"/>
  <c r="L15" i="1" s="1"/>
  <c r="E15" i="1"/>
  <c r="F15" i="1" s="1"/>
  <c r="J3" i="2"/>
  <c r="J9" i="2" l="1"/>
  <c r="J10" i="2"/>
  <c r="K10" i="2" s="1" a="1"/>
  <c r="K10" i="2" s="1"/>
  <c r="L3" i="2" a="1"/>
  <c r="L3" i="2" s="1"/>
  <c r="K3" i="2" a="1"/>
  <c r="K3" i="2" s="1"/>
  <c r="K9" i="2" a="1"/>
  <c r="K9" i="2" s="1"/>
  <c r="M9" i="2" s="1"/>
  <c r="J8" i="2"/>
  <c r="J7" i="2"/>
  <c r="J2" i="2"/>
  <c r="J6" i="2"/>
  <c r="L9" i="2" a="1"/>
  <c r="L9" i="2" s="1"/>
  <c r="J5" i="2"/>
  <c r="J12" i="2"/>
  <c r="J4" i="2"/>
  <c r="J11" i="2"/>
  <c r="L10" i="2" l="1" a="1"/>
  <c r="L10" i="2" s="1"/>
  <c r="M10" i="2" s="1"/>
  <c r="N10" i="2" s="1"/>
  <c r="E11" i="1" s="1"/>
  <c r="F11" i="1" s="1"/>
  <c r="M3" i="2"/>
  <c r="L12" i="2" a="1"/>
  <c r="L12" i="2" s="1"/>
  <c r="K12" i="2" a="1"/>
  <c r="K12" i="2" s="1"/>
  <c r="M12" i="2" s="1"/>
  <c r="L7" i="2" a="1"/>
  <c r="L7" i="2" s="1"/>
  <c r="K7" i="2" a="1"/>
  <c r="K7" i="2" s="1"/>
  <c r="L2" i="2" a="1"/>
  <c r="L2" i="2" s="1"/>
  <c r="K2" i="2" a="1"/>
  <c r="K2" i="2" s="1"/>
  <c r="L4" i="2" a="1"/>
  <c r="L4" i="2" s="1"/>
  <c r="K4" i="2" a="1"/>
  <c r="K4" i="2" s="1"/>
  <c r="L5" i="2" a="1"/>
  <c r="L5" i="2" s="1"/>
  <c r="K5" i="2" a="1"/>
  <c r="K5" i="2" s="1"/>
  <c r="L8" i="2" a="1"/>
  <c r="L8" i="2" s="1"/>
  <c r="K8" i="2" a="1"/>
  <c r="K8" i="2" s="1"/>
  <c r="M8" i="2" s="1"/>
  <c r="L13" i="2" a="1"/>
  <c r="L13" i="2" s="1"/>
  <c r="K13" i="2" a="1"/>
  <c r="K13" i="2" s="1"/>
  <c r="K6" i="2" a="1"/>
  <c r="K6" i="2" s="1"/>
  <c r="M6" i="2" s="1"/>
  <c r="L6" i="2" a="1"/>
  <c r="L6" i="2" s="1"/>
  <c r="K11" i="2" a="1"/>
  <c r="K11" i="2" s="1"/>
  <c r="L11" i="2" a="1"/>
  <c r="L11" i="2" s="1"/>
  <c r="M7" i="2" l="1"/>
  <c r="M11" i="2"/>
  <c r="N11" i="2" s="1"/>
  <c r="E12" i="1" s="1"/>
  <c r="F12" i="1" s="1"/>
  <c r="M5" i="2"/>
  <c r="N6" i="2" s="1"/>
  <c r="E7" i="1" s="1"/>
  <c r="F7" i="1" s="1"/>
  <c r="M13" i="2"/>
  <c r="N13" i="2" s="1"/>
  <c r="E14" i="1" s="1"/>
  <c r="F14" i="1" s="1"/>
  <c r="M2" i="2"/>
  <c r="N2" i="2" s="1"/>
  <c r="E3" i="1" s="1"/>
  <c r="M4" i="2"/>
  <c r="N4" i="2" s="1"/>
  <c r="E5" i="1" s="1"/>
  <c r="F5" i="1" s="1"/>
  <c r="N8" i="2"/>
  <c r="E9" i="1" s="1"/>
  <c r="F9" i="1" s="1"/>
  <c r="N9" i="2"/>
  <c r="E10" i="1" s="1"/>
  <c r="F10" i="1" s="1"/>
  <c r="N7" i="2"/>
  <c r="E8" i="1" s="1"/>
  <c r="F8" i="1" s="1"/>
  <c r="N12" i="2"/>
  <c r="E13" i="1" s="1"/>
  <c r="F13" i="1" s="1"/>
  <c r="N3" i="2" l="1"/>
  <c r="E4" i="1" s="1"/>
  <c r="F4" i="1" s="1"/>
  <c r="F3" i="1"/>
  <c r="N5" i="2"/>
  <c r="E6" i="1" s="1"/>
  <c r="F6" i="1" s="1"/>
  <c r="E16" i="1" l="1"/>
  <c r="F16" i="1"/>
  <c r="L16" i="1" s="1"/>
  <c r="L17" i="1" l="1"/>
  <c r="L21" i="1"/>
  <c r="L25" i="1" l="1"/>
  <c r="L2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<sst xmlns="http://schemas.openxmlformats.org/spreadsheetml/2006/main" count="39" uniqueCount="39">
  <si>
    <t>月</t>
    <phoneticPr fontId="2" type="noConversion"/>
  </si>
  <si>
    <t>社保扣除</t>
  </si>
  <si>
    <t>社保扣除</t>
    <phoneticPr fontId="2" type="noConversion"/>
  </si>
  <si>
    <t>公积金扣除</t>
  </si>
  <si>
    <t>公积金扣除</t>
    <phoneticPr fontId="2" type="noConversion"/>
  </si>
  <si>
    <t>个税扣除</t>
    <phoneticPr fontId="2" type="noConversion"/>
  </si>
  <si>
    <t>净收入</t>
    <phoneticPr fontId="2" type="noConversion"/>
  </si>
  <si>
    <t>月份</t>
  </si>
  <si>
    <t>速算扣除数</t>
  </si>
  <si>
    <t>累计预扣预缴应纳税所得额</t>
  </si>
  <si>
    <t>税率（%）</t>
  </si>
  <si>
    <t>不超过 36000 元的部分</t>
  </si>
  <si>
    <t>超过 36000 元至 144000 元的部分</t>
  </si>
  <si>
    <t>超过 144000 元至 300000 元的部分</t>
  </si>
  <si>
    <t>税前收入</t>
  </si>
  <si>
    <t>基本减除费用（起征点）</t>
  </si>
  <si>
    <t>租房专项附加扣除</t>
  </si>
  <si>
    <t>税前收入</t>
    <phoneticPr fontId="2" type="noConversion"/>
  </si>
  <si>
    <t>支出预测</t>
    <phoneticPr fontId="2" type="noConversion"/>
  </si>
  <si>
    <t>房租</t>
    <phoneticPr fontId="2" type="noConversion"/>
  </si>
  <si>
    <t>餐饮</t>
    <phoneticPr fontId="2" type="noConversion"/>
  </si>
  <si>
    <t>交通</t>
    <phoneticPr fontId="2" type="noConversion"/>
  </si>
  <si>
    <t>其他</t>
    <phoneticPr fontId="2" type="noConversion"/>
  </si>
  <si>
    <t>税率</t>
    <phoneticPr fontId="2" type="noConversion"/>
  </si>
  <si>
    <t>累计应纳税所得</t>
    <phoneticPr fontId="2" type="noConversion"/>
  </si>
  <si>
    <t>速算扣除数</t>
    <phoneticPr fontId="2" type="noConversion"/>
  </si>
  <si>
    <t>金额</t>
    <phoneticPr fontId="2" type="noConversion"/>
  </si>
  <si>
    <t>固定项目</t>
    <phoneticPr fontId="2" type="noConversion"/>
  </si>
  <si>
    <t>累计应缴个税</t>
    <phoneticPr fontId="2" type="noConversion"/>
  </si>
  <si>
    <t>当月应缴个税</t>
    <phoneticPr fontId="2" type="noConversion"/>
  </si>
  <si>
    <t>NET RATIO</t>
    <phoneticPr fontId="2" type="noConversion"/>
  </si>
  <si>
    <t>TOTAL ANNUAL NET</t>
    <phoneticPr fontId="2" type="noConversion"/>
  </si>
  <si>
    <t>TOTAL ANNUAL GROSS</t>
    <phoneticPr fontId="2" type="noConversion"/>
  </si>
  <si>
    <t>Cindy’s 2026 Fixed Income Insights</t>
    <phoneticPr fontId="2" type="noConversion"/>
  </si>
  <si>
    <t>ANNUAL SAVINGS FORECAST</t>
  </si>
  <si>
    <t>净储蓄率</t>
    <phoneticPr fontId="2" type="noConversion"/>
  </si>
  <si>
    <t>年化支出</t>
    <phoneticPr fontId="2" type="noConversion"/>
  </si>
  <si>
    <t>全年</t>
    <phoneticPr fontId="2" type="noConversion"/>
  </si>
  <si>
    <t>项目奖金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</si>
</sst>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_ * #,##0_ ;_ * \-#,##0_ ;_ * &quot;-&quot;??_ ;_ @_ "/>
  </numFmts>
  <fonts count="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22"/>
      <name val="Microsoft YaHei UI"/>
      <family val="2"/>
      <charset val="134"/>
    </font>
    <font>
      <sz val="22"/>
      <name val="Microsoft YaHei UI"/>
      <family val="2"/>
      <charset val="134"/>
    </font>
    <font>
      <sz val="11"/>
      <name val="Microsoft YaHei UI"/>
      <family val="2"/>
      <charset val="134"/>
    </font>
    <font>
      <b/>
      <sz val="11"/>
      <name val="Microsoft YaHei UI"/>
      <family val="2"/>
      <charset val="134"/>
    </font>
    <font>
      <sz val="11"/>
      <color theme="1"/>
      <name val="Microsoft YaHei UI"/>
      <family val="2"/>
      <charset val="134"/>
    </font>
    <font>
      <b/>
      <sz val="11"/>
      <color theme="1"/>
      <name val="Microsoft YaHei U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E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>
      <alignment vertical="center"/>
    </xf>
    <xf numFmtId="176" fontId="5" fillId="0" borderId="0" xfId="1" applyNumberFormat="1" applyFont="1">
      <alignment vertical="center"/>
    </xf>
    <xf numFmtId="0" fontId="6" fillId="0" borderId="0" xfId="0" applyFont="1">
      <alignment vertical="center"/>
    </xf>
    <xf numFmtId="176" fontId="6" fillId="0" borderId="0" xfId="1" applyNumberFormat="1" applyFo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>
      <alignment vertical="center"/>
    </xf>
    <xf numFmtId="9" fontId="7" fillId="0" borderId="0" xfId="0" applyNumberFormat="1" applyFont="1">
      <alignment vertical="center"/>
    </xf>
    <xf numFmtId="176" fontId="7" fillId="0" borderId="0" xfId="1" applyNumberFormat="1" applyFont="1" applyAlignment="1">
      <alignment horizontal="left" vertical="center"/>
    </xf>
    <xf numFmtId="176" fontId="7" fillId="0" borderId="0" xfId="1" applyNumberFormat="1" applyFont="1">
      <alignment vertical="center"/>
    </xf>
    <xf numFmtId="176" fontId="8" fillId="0" borderId="0" xfId="1" applyNumberFormat="1" applyFont="1">
      <alignment vertical="center"/>
    </xf>
    <xf numFmtId="176" fontId="5" fillId="2" borderId="0" xfId="1" applyNumberFormat="1" applyFont="1" applyFill="1">
      <alignment vertical="center"/>
    </xf>
    <xf numFmtId="176" fontId="6" fillId="2" borderId="0" xfId="1" applyNumberFormat="1" applyFont="1" applyFill="1">
      <alignment vertical="center"/>
    </xf>
    <xf numFmtId="0" fontId="3" fillId="0" borderId="0" xfId="0" applyFont="1">
      <alignment vertical="center"/>
    </xf>
    <xf numFmtId="176" fontId="4" fillId="0" borderId="0" xfId="1" applyNumberFormat="1" applyFont="1" applyFill="1">
      <alignment vertical="center"/>
    </xf>
    <xf numFmtId="0" fontId="4" fillId="0" borderId="0" xfId="0" applyFont="1">
      <alignment vertical="center"/>
    </xf>
    <xf numFmtId="176" fontId="5" fillId="0" borderId="0" xfId="1" applyNumberFormat="1" applyFont="1" applyFill="1">
      <alignment vertical="center"/>
    </xf>
    <xf numFmtId="176" fontId="6" fillId="0" borderId="0" xfId="0" applyNumberFormat="1" applyFont="1">
      <alignment vertical="center"/>
    </xf>
    <xf numFmtId="9" fontId="5" fillId="0" borderId="0" xfId="2" applyFont="1" applyFill="1">
      <alignment vertical="center"/>
    </xf>
    <xf numFmtId="10" fontId="5" fillId="0" borderId="0" xfId="2" applyNumberFormat="1" applyFont="1" applyFill="1">
      <alignment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FFE5"/>
      <color rgb="FFFFFF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06547-AD48-4163-9B38-C9FC72C3B36C}">
  <dimension ref="A1:M25"/>
  <sheetViews>
    <sheetView tabSelected="1" zoomScale="76" workbookViewId="0">
      <selection activeCell="N7" sqref="N7"/>
    </sheetView>
  </sheetViews>
  <sheetFormatPr defaultRowHeight="15.6" x14ac:dyDescent="0.25"/>
  <cols>
    <col min="1" max="1" width="9" style="2" bestFit="1" customWidth="1"/>
    <col min="2" max="2" width="15.44140625" style="17" bestFit="1" customWidth="1"/>
    <col min="3" max="4" width="13.88671875" style="17" bestFit="1" customWidth="1"/>
    <col min="5" max="5" width="8.88671875" style="17" customWidth="1"/>
    <col min="6" max="6" width="15.44140625" style="17" bestFit="1" customWidth="1"/>
    <col min="7" max="7" width="8.88671875" style="2"/>
    <col min="8" max="8" width="10.6640625" style="2" customWidth="1"/>
    <col min="9" max="9" width="11.77734375" style="2" bestFit="1" customWidth="1"/>
    <col min="10" max="10" width="13.21875" style="17" bestFit="1" customWidth="1"/>
    <col min="11" max="11" width="35.77734375" style="2" bestFit="1" customWidth="1"/>
    <col min="12" max="12" width="11.77734375" style="2" bestFit="1" customWidth="1"/>
    <col min="13" max="14" width="8.88671875" style="2"/>
    <col min="15" max="15" width="28.88671875" style="2" customWidth="1"/>
    <col min="16" max="16" width="18.77734375" style="2" customWidth="1"/>
    <col min="17" max="16384" width="8.88671875" style="2"/>
  </cols>
  <sheetData>
    <row r="1" spans="1:13" s="16" customFormat="1" ht="32.4" x14ac:dyDescent="0.25">
      <c r="A1" s="14" t="s">
        <v>33</v>
      </c>
      <c r="B1" s="15"/>
      <c r="C1" s="15"/>
      <c r="D1" s="15"/>
      <c r="E1" s="15"/>
      <c r="F1" s="15"/>
      <c r="J1" s="15"/>
    </row>
    <row r="2" spans="1:13" x14ac:dyDescent="0.25">
      <c r="A2" s="1" t="s">
        <v>0</v>
      </c>
      <c r="B2" s="17" t="s">
        <v>17</v>
      </c>
      <c r="C2" s="17" t="s">
        <v>2</v>
      </c>
      <c r="D2" s="17" t="s">
        <v>4</v>
      </c>
      <c r="E2" s="17" t="s">
        <v>5</v>
      </c>
      <c r="F2" s="17" t="s">
        <v>6</v>
      </c>
      <c r="I2" s="2" t="s">
        <v>18</v>
      </c>
    </row>
    <row r="3" spans="1:13" x14ac:dyDescent="0.25">
      <c r="A3" s="1">
        <v>1</v>
      </c>
      <c r="B3" s="12">
        <v>18400</v>
      </c>
      <c r="C3" s="3">
        <v>1680</v>
      </c>
      <c r="D3" s="3">
        <v>1120</v>
      </c>
      <c r="E3" s="3">
        <f>VLOOKUP(A3,税额速算!I:N,6,0)</f>
        <v>201</v>
      </c>
      <c r="F3" s="12">
        <f>B3-SUM(C3:E3)</f>
        <v>15399</v>
      </c>
      <c r="I3" s="2" t="s">
        <v>19</v>
      </c>
      <c r="J3" s="3">
        <v>2850</v>
      </c>
    </row>
    <row r="4" spans="1:13" x14ac:dyDescent="0.25">
      <c r="A4" s="1">
        <v>2</v>
      </c>
      <c r="B4" s="12">
        <v>18400</v>
      </c>
      <c r="C4" s="3">
        <v>1680</v>
      </c>
      <c r="D4" s="3">
        <v>1120</v>
      </c>
      <c r="E4" s="3">
        <f>VLOOKUP(A4,税额速算!I:N,6,0)</f>
        <v>201</v>
      </c>
      <c r="F4" s="12">
        <f t="shared" ref="F4:F15" si="0">B4-SUM(C4:E4)</f>
        <v>15399</v>
      </c>
      <c r="I4" s="2" t="s">
        <v>20</v>
      </c>
      <c r="J4" s="3">
        <v>2000</v>
      </c>
    </row>
    <row r="5" spans="1:13" x14ac:dyDescent="0.25">
      <c r="A5" s="1">
        <v>3</v>
      </c>
      <c r="B5" s="12">
        <v>18400</v>
      </c>
      <c r="C5" s="3">
        <v>1680</v>
      </c>
      <c r="D5" s="3">
        <v>1120</v>
      </c>
      <c r="E5" s="3">
        <f>VLOOKUP(A5,税额速算!I:N,6,0)</f>
        <v>201</v>
      </c>
      <c r="F5" s="12">
        <f t="shared" si="0"/>
        <v>15399</v>
      </c>
      <c r="I5" s="2" t="s">
        <v>21</v>
      </c>
      <c r="J5" s="3">
        <v>500</v>
      </c>
    </row>
    <row r="6" spans="1:13" x14ac:dyDescent="0.25">
      <c r="A6" s="1">
        <v>4</v>
      </c>
      <c r="B6" s="12">
        <v>18400</v>
      </c>
      <c r="C6" s="3">
        <v>1680</v>
      </c>
      <c r="D6" s="3">
        <v>1120</v>
      </c>
      <c r="E6" s="3">
        <f>VLOOKUP(A6,税额速算!I:N,6,0)</f>
        <v>201</v>
      </c>
      <c r="F6" s="12">
        <f t="shared" si="0"/>
        <v>15399</v>
      </c>
      <c r="I6" s="2" t="s">
        <v>22</v>
      </c>
      <c r="J6" s="3">
        <v>1000</v>
      </c>
    </row>
    <row r="7" spans="1:13" ht="16.2" x14ac:dyDescent="0.25">
      <c r="A7" s="1">
        <v>5</v>
      </c>
      <c r="B7" s="12">
        <v>18400</v>
      </c>
      <c r="C7" s="3">
        <v>1680</v>
      </c>
      <c r="D7" s="3">
        <v>1120</v>
      </c>
      <c r="E7" s="3">
        <f>VLOOKUP(A7,税额速算!I:N,6,0)</f>
        <v>201</v>
      </c>
      <c r="F7" s="12">
        <f t="shared" si="0"/>
        <v>15399</v>
      </c>
      <c r="I7" s="4"/>
      <c r="J7" s="5">
        <f>SUM(J3:J6)</f>
        <v>6350</v>
      </c>
    </row>
    <row r="8" spans="1:13" ht="16.2" x14ac:dyDescent="0.25">
      <c r="A8" s="1">
        <v>6</v>
      </c>
      <c r="B8" s="12">
        <v>18400</v>
      </c>
      <c r="C8" s="3">
        <v>1680</v>
      </c>
      <c r="D8" s="3">
        <v>1120</v>
      </c>
      <c r="E8" s="3">
        <f>VLOOKUP(A8,税额速算!I:N,6,0)</f>
        <v>495</v>
      </c>
      <c r="F8" s="12">
        <f t="shared" si="0"/>
        <v>15105</v>
      </c>
      <c r="I8" s="4" t="s">
        <v>36</v>
      </c>
      <c r="J8" s="5">
        <f>J7*12</f>
        <v>76200</v>
      </c>
    </row>
    <row r="9" spans="1:13" x14ac:dyDescent="0.25">
      <c r="A9" s="1">
        <v>7</v>
      </c>
      <c r="B9" s="12">
        <v>18400</v>
      </c>
      <c r="C9" s="3">
        <v>1680</v>
      </c>
      <c r="D9" s="3">
        <v>1120</v>
      </c>
      <c r="E9" s="3">
        <f>VLOOKUP(A9,税额速算!I:N,6,0)</f>
        <v>670</v>
      </c>
      <c r="F9" s="12">
        <f t="shared" si="0"/>
        <v>14930</v>
      </c>
      <c r="J9" s="3"/>
    </row>
    <row r="10" spans="1:13" x14ac:dyDescent="0.25">
      <c r="A10" s="1">
        <v>8</v>
      </c>
      <c r="B10" s="12">
        <v>18400</v>
      </c>
      <c r="C10" s="3">
        <v>1680</v>
      </c>
      <c r="D10" s="3">
        <v>1120</v>
      </c>
      <c r="E10" s="3">
        <f>VLOOKUP(A10,税额速算!I:N,6,0)</f>
        <v>670</v>
      </c>
      <c r="F10" s="12">
        <f t="shared" si="0"/>
        <v>14930</v>
      </c>
      <c r="J10" s="3"/>
    </row>
    <row r="11" spans="1:13" x14ac:dyDescent="0.25">
      <c r="A11" s="1">
        <v>9</v>
      </c>
      <c r="B11" s="12">
        <v>18400</v>
      </c>
      <c r="C11" s="3">
        <v>1680</v>
      </c>
      <c r="D11" s="3">
        <v>1120</v>
      </c>
      <c r="E11" s="3">
        <f>VLOOKUP(A11,税额速算!I:N,6,0)</f>
        <v>670</v>
      </c>
      <c r="F11" s="12">
        <f t="shared" si="0"/>
        <v>14930</v>
      </c>
      <c r="J11" s="3"/>
    </row>
    <row r="12" spans="1:13" x14ac:dyDescent="0.25">
      <c r="A12" s="1">
        <v>10</v>
      </c>
      <c r="B12" s="12">
        <v>18400</v>
      </c>
      <c r="C12" s="3">
        <v>1680</v>
      </c>
      <c r="D12" s="3">
        <v>1120</v>
      </c>
      <c r="E12" s="3">
        <f>VLOOKUP(A12,税额速算!I:N,6,0)</f>
        <v>670</v>
      </c>
      <c r="F12" s="12">
        <f t="shared" si="0"/>
        <v>14930</v>
      </c>
      <c r="J12" s="3"/>
    </row>
    <row r="13" spans="1:13" x14ac:dyDescent="0.25">
      <c r="A13" s="1">
        <v>11</v>
      </c>
      <c r="B13" s="12">
        <v>18400</v>
      </c>
      <c r="C13" s="3">
        <v>1680</v>
      </c>
      <c r="D13" s="3">
        <v>1120</v>
      </c>
      <c r="E13" s="3">
        <f>VLOOKUP(A13,税额速算!I:N,6,0)</f>
        <v>670</v>
      </c>
      <c r="F13" s="12">
        <f t="shared" si="0"/>
        <v>14930</v>
      </c>
      <c r="J13" s="3"/>
    </row>
    <row r="14" spans="1:13" x14ac:dyDescent="0.25">
      <c r="A14" s="1">
        <v>12</v>
      </c>
      <c r="B14" s="12">
        <v>18400</v>
      </c>
      <c r="C14" s="3">
        <v>1680</v>
      </c>
      <c r="D14" s="3">
        <v>1120</v>
      </c>
      <c r="E14" s="3">
        <f>VLOOKUP(A14,税额速算!I:N,6,0)</f>
        <v>670</v>
      </c>
      <c r="F14" s="12">
        <f t="shared" si="0"/>
        <v>14930</v>
      </c>
      <c r="J14" s="2"/>
    </row>
    <row r="15" spans="1:13" ht="16.2" x14ac:dyDescent="0.25">
      <c r="A15" s="1" t="s">
        <v>38</v>
      </c>
      <c r="B15" s="12">
        <v>18400</v>
      </c>
      <c r="C15" s="3"/>
      <c r="D15" s="3"/>
      <c r="E15" s="3">
        <f>B15*3%-0</f>
        <v>552</v>
      </c>
      <c r="F15" s="12">
        <f t="shared" si="0"/>
        <v>17848</v>
      </c>
      <c r="J15" s="2"/>
      <c r="K15" s="4" t="s">
        <v>32</v>
      </c>
      <c r="L15" s="18">
        <f>B16</f>
        <v>239200</v>
      </c>
      <c r="M15" s="17"/>
    </row>
    <row r="16" spans="1:13" s="4" customFormat="1" ht="16.2" x14ac:dyDescent="0.25">
      <c r="A16" s="4" t="s">
        <v>37</v>
      </c>
      <c r="B16" s="13">
        <f>SUM(B3:B15)</f>
        <v>239200</v>
      </c>
      <c r="C16" s="5">
        <f t="shared" ref="C16:F16" si="1">SUM(C3:C15)</f>
        <v>20160</v>
      </c>
      <c r="D16" s="5">
        <f t="shared" si="1"/>
        <v>13440</v>
      </c>
      <c r="E16" s="5">
        <f t="shared" si="1"/>
        <v>6072</v>
      </c>
      <c r="F16" s="13">
        <f t="shared" si="1"/>
        <v>199528</v>
      </c>
      <c r="K16" s="4" t="s">
        <v>31</v>
      </c>
      <c r="L16" s="18">
        <f>F16</f>
        <v>199528</v>
      </c>
      <c r="M16" s="2"/>
    </row>
    <row r="17" spans="10:12" x14ac:dyDescent="0.25">
      <c r="K17" s="2" t="s">
        <v>30</v>
      </c>
      <c r="L17" s="20">
        <f>L16/L15</f>
        <v>0.83414715719063548</v>
      </c>
    </row>
    <row r="21" spans="10:12" ht="16.2" x14ac:dyDescent="0.25">
      <c r="K21" s="4" t="s">
        <v>34</v>
      </c>
      <c r="L21" s="18">
        <f>L16-J8</f>
        <v>123328</v>
      </c>
    </row>
    <row r="22" spans="10:12" x14ac:dyDescent="0.25">
      <c r="K22" s="2" t="s">
        <v>35</v>
      </c>
      <c r="L22" s="19">
        <f>L21/L16</f>
        <v>0.61809871296259167</v>
      </c>
    </row>
    <row r="23" spans="10:12" x14ac:dyDescent="0.25">
      <c r="J23" s="2"/>
    </row>
    <row r="24" spans="10:12" x14ac:dyDescent="0.25">
      <c r="J24" s="2"/>
    </row>
    <row r="25" spans="10:12" x14ac:dyDescent="0.25">
      <c r="J25" s="2"/>
      <c r="L25" s="19">
        <f>L21/L15</f>
        <v>0.51558528428093642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F6A50-2465-4272-A057-4D80C2C2AD88}">
  <dimension ref="A1:N13"/>
  <sheetViews>
    <sheetView workbookViewId="0">
      <selection activeCell="G10" sqref="G10"/>
    </sheetView>
  </sheetViews>
  <sheetFormatPr defaultRowHeight="15.6" x14ac:dyDescent="0.25"/>
  <cols>
    <col min="1" max="1" width="30.88671875" style="7" customWidth="1"/>
    <col min="2" max="3" width="9" style="10" customWidth="1"/>
    <col min="4" max="5" width="8.88671875" style="10"/>
    <col min="6" max="6" width="13.21875" style="10" customWidth="1"/>
    <col min="7" max="7" width="10.6640625" style="10" customWidth="1"/>
    <col min="8" max="8" width="8.88671875" style="10"/>
    <col min="9" max="9" width="8.88671875" style="7"/>
    <col min="10" max="10" width="10" style="10" customWidth="1"/>
    <col min="11" max="11" width="8.88671875" style="7"/>
    <col min="12" max="13" width="9.109375" style="10" customWidth="1"/>
    <col min="14" max="14" width="9.21875" style="10" bestFit="1" customWidth="1"/>
    <col min="15" max="16384" width="8.88671875" style="7"/>
  </cols>
  <sheetData>
    <row r="1" spans="1:14" s="6" customFormat="1" x14ac:dyDescent="0.25">
      <c r="B1" s="9"/>
      <c r="C1" s="9"/>
      <c r="D1" s="9"/>
      <c r="E1" s="9"/>
      <c r="F1" s="9" t="s">
        <v>27</v>
      </c>
      <c r="G1" s="9" t="s">
        <v>26</v>
      </c>
      <c r="H1" s="9"/>
      <c r="I1" s="7" t="s">
        <v>7</v>
      </c>
      <c r="J1" s="9" t="s">
        <v>24</v>
      </c>
      <c r="K1" s="6" t="s">
        <v>23</v>
      </c>
      <c r="L1" s="9" t="s">
        <v>8</v>
      </c>
      <c r="M1" s="9" t="s">
        <v>28</v>
      </c>
      <c r="N1" s="9" t="s">
        <v>29</v>
      </c>
    </row>
    <row r="2" spans="1:14" x14ac:dyDescent="0.25">
      <c r="A2" s="7" t="s">
        <v>9</v>
      </c>
      <c r="B2" s="10" t="s">
        <v>10</v>
      </c>
      <c r="C2" s="10" t="s">
        <v>25</v>
      </c>
      <c r="F2" s="10" t="s">
        <v>14</v>
      </c>
      <c r="G2" s="10">
        <v>16000</v>
      </c>
      <c r="I2" s="7">
        <v>1</v>
      </c>
      <c r="J2" s="10">
        <f>G$7*I2</f>
        <v>6700</v>
      </c>
      <c r="K2" s="8" cm="1">
        <f t="array" ref="K2">_xlfn.IFS(J2&lt;=36000,3%,AND(J2&gt;36000,J2&lt;=144000),10%,J2&gt;=144000,20%)</f>
        <v>0.03</v>
      </c>
      <c r="L2" s="10" cm="1">
        <f t="array" ref="L2">_xlfn.IFS(J2&lt;=36000,0,AND(J2&gt;36000,J2&lt;=144000),2520,J2&gt;=144000,16920)</f>
        <v>0</v>
      </c>
      <c r="M2" s="10">
        <f>J2*K2-L2</f>
        <v>201</v>
      </c>
      <c r="N2" s="10">
        <f>M2</f>
        <v>201</v>
      </c>
    </row>
    <row r="3" spans="1:14" x14ac:dyDescent="0.25">
      <c r="A3" s="7" t="s">
        <v>11</v>
      </c>
      <c r="B3" s="10">
        <v>3</v>
      </c>
      <c r="C3" s="10">
        <v>0</v>
      </c>
      <c r="F3" s="10" t="s">
        <v>1</v>
      </c>
      <c r="G3" s="10">
        <v>1680</v>
      </c>
      <c r="I3" s="7">
        <v>2</v>
      </c>
      <c r="J3" s="10">
        <f t="shared" ref="J3:J12" si="0">G$7*I3</f>
        <v>13400</v>
      </c>
      <c r="K3" s="8" cm="1">
        <f t="array" ref="K3">_xlfn.IFS(J3&lt;=36000,3%,AND(J3&gt;36000,J3&lt;=144000),10%,J3&gt;=144000,20%)</f>
        <v>0.03</v>
      </c>
      <c r="L3" s="10" cm="1">
        <f t="array" ref="L3">_xlfn.IFS(J3&lt;=36000,0,AND(J3&gt;36000,J3&lt;=144000),2520,J3&gt;=144000,16920)</f>
        <v>0</v>
      </c>
      <c r="M3" s="10">
        <f t="shared" ref="M3:M13" si="1">J3*K3-L3</f>
        <v>402</v>
      </c>
      <c r="N3" s="10">
        <f>M3-M2</f>
        <v>201</v>
      </c>
    </row>
    <row r="4" spans="1:14" x14ac:dyDescent="0.25">
      <c r="A4" s="7" t="s">
        <v>12</v>
      </c>
      <c r="B4" s="10">
        <v>10</v>
      </c>
      <c r="C4" s="10">
        <v>2520</v>
      </c>
      <c r="F4" s="10" t="s">
        <v>3</v>
      </c>
      <c r="G4" s="10">
        <v>1120</v>
      </c>
      <c r="I4" s="7">
        <v>3</v>
      </c>
      <c r="J4" s="10">
        <f t="shared" si="0"/>
        <v>20100</v>
      </c>
      <c r="K4" s="8" cm="1">
        <f t="array" ref="K4">_xlfn.IFS(J4&lt;=36000,3%,AND(J4&gt;36000,J4&lt;=144000),10%,J4&gt;=144000,20%)</f>
        <v>0.03</v>
      </c>
      <c r="L4" s="10" cm="1">
        <f t="array" ref="L4">_xlfn.IFS(J4&lt;=36000,0,AND(J4&gt;36000,J4&lt;=144000),2520,J4&gt;=144000,16920)</f>
        <v>0</v>
      </c>
      <c r="M4" s="10">
        <f t="shared" si="1"/>
        <v>603</v>
      </c>
      <c r="N4" s="10">
        <f t="shared" ref="N4:N13" si="2">M4-M3</f>
        <v>201</v>
      </c>
    </row>
    <row r="5" spans="1:14" x14ac:dyDescent="0.25">
      <c r="A5" s="7" t="s">
        <v>13</v>
      </c>
      <c r="B5" s="10">
        <v>20</v>
      </c>
      <c r="C5" s="10">
        <v>16920</v>
      </c>
      <c r="F5" s="10" t="s">
        <v>15</v>
      </c>
      <c r="G5" s="10">
        <v>5000</v>
      </c>
      <c r="I5" s="7">
        <v>4</v>
      </c>
      <c r="J5" s="10">
        <f t="shared" si="0"/>
        <v>26800</v>
      </c>
      <c r="K5" s="8" cm="1">
        <f t="array" ref="K5">_xlfn.IFS(J5&lt;=36000,3%,AND(J5&gt;36000,J5&lt;=144000),10%,J5&gt;=144000,20%)</f>
        <v>0.03</v>
      </c>
      <c r="L5" s="10" cm="1">
        <f t="array" ref="L5">_xlfn.IFS(J5&lt;=36000,0,AND(J5&gt;36000,J5&lt;=144000),2520,J5&gt;=144000,16920)</f>
        <v>0</v>
      </c>
      <c r="M5" s="10">
        <f t="shared" si="1"/>
        <v>804</v>
      </c>
      <c r="N5" s="10">
        <f t="shared" si="2"/>
        <v>201</v>
      </c>
    </row>
    <row r="6" spans="1:14" x14ac:dyDescent="0.25">
      <c r="F6" s="10" t="s">
        <v>16</v>
      </c>
      <c r="G6" s="10">
        <v>1500</v>
      </c>
      <c r="I6" s="7">
        <v>5</v>
      </c>
      <c r="J6" s="10">
        <f t="shared" si="0"/>
        <v>33500</v>
      </c>
      <c r="K6" s="8" cm="1">
        <f t="array" ref="K6">_xlfn.IFS(J6&lt;=36000,3%,AND(J6&gt;36000,J6&lt;=144000),10%,J6&gt;=144000,20%)</f>
        <v>0.03</v>
      </c>
      <c r="L6" s="10" cm="1">
        <f t="array" ref="L6">_xlfn.IFS(J6&lt;=36000,0,AND(J6&gt;36000,J6&lt;=144000),2520,J6&gt;=144000,16920)</f>
        <v>0</v>
      </c>
      <c r="M6" s="10">
        <f t="shared" si="1"/>
        <v>1005</v>
      </c>
      <c r="N6" s="10">
        <f t="shared" si="2"/>
        <v>201</v>
      </c>
    </row>
    <row r="7" spans="1:14" ht="16.2" x14ac:dyDescent="0.25">
      <c r="G7" s="11">
        <f>G2-SUM(G3:G6)</f>
        <v>6700</v>
      </c>
      <c r="I7" s="7">
        <v>6</v>
      </c>
      <c r="J7" s="10">
        <f t="shared" si="0"/>
        <v>40200</v>
      </c>
      <c r="K7" s="8" cm="1">
        <f t="array" ref="K7">_xlfn.IFS(J7&lt;=36000,3%,AND(J7&gt;36000,J7&lt;=144000),10%,J7&gt;=144000,20%)</f>
        <v>0.1</v>
      </c>
      <c r="L7" s="10" cm="1">
        <f t="array" ref="L7">_xlfn.IFS(J7&lt;=36000,0,AND(J7&gt;36000,J7&lt;=144000),2520,J7&gt;=144000,16920)</f>
        <v>2520</v>
      </c>
      <c r="M7" s="10">
        <f t="shared" si="1"/>
        <v>1500</v>
      </c>
      <c r="N7" s="10">
        <f t="shared" si="2"/>
        <v>495</v>
      </c>
    </row>
    <row r="8" spans="1:14" x14ac:dyDescent="0.25">
      <c r="I8" s="7">
        <v>7</v>
      </c>
      <c r="J8" s="10">
        <f t="shared" si="0"/>
        <v>46900</v>
      </c>
      <c r="K8" s="8" cm="1">
        <f t="array" ref="K8">_xlfn.IFS(J8&lt;=36000,3%,AND(J8&gt;36000,J8&lt;=144000),10%,J8&gt;=144000,20%)</f>
        <v>0.1</v>
      </c>
      <c r="L8" s="10" cm="1">
        <f t="array" ref="L8">_xlfn.IFS(J8&lt;=36000,0,AND(J8&gt;36000,J8&lt;=144000),2520,J8&gt;=144000,16920)</f>
        <v>2520</v>
      </c>
      <c r="M8" s="10">
        <f t="shared" si="1"/>
        <v>2170</v>
      </c>
      <c r="N8" s="10">
        <f t="shared" si="2"/>
        <v>670</v>
      </c>
    </row>
    <row r="9" spans="1:14" x14ac:dyDescent="0.25">
      <c r="I9" s="7">
        <v>8</v>
      </c>
      <c r="J9" s="10">
        <f t="shared" si="0"/>
        <v>53600</v>
      </c>
      <c r="K9" s="8" cm="1">
        <f t="array" ref="K9">_xlfn.IFS(J9&lt;=36000,3%,AND(J9&gt;36000,J9&lt;=144000),10%,J9&gt;=144000,20%)</f>
        <v>0.1</v>
      </c>
      <c r="L9" s="10" cm="1">
        <f t="array" ref="L9">_xlfn.IFS(J9&lt;=36000,0,AND(J9&gt;36000,J9&lt;=144000),2520,J9&gt;=144000,16920)</f>
        <v>2520</v>
      </c>
      <c r="M9" s="10">
        <f t="shared" si="1"/>
        <v>2840</v>
      </c>
      <c r="N9" s="10">
        <f t="shared" si="2"/>
        <v>670</v>
      </c>
    </row>
    <row r="10" spans="1:14" x14ac:dyDescent="0.25">
      <c r="I10" s="7">
        <v>9</v>
      </c>
      <c r="J10" s="10">
        <f t="shared" si="0"/>
        <v>60300</v>
      </c>
      <c r="K10" s="8" cm="1">
        <f t="array" ref="K10">_xlfn.IFS(J10&lt;=36000,3%,AND(J10&gt;36000,J10&lt;=144000),10%,J10&gt;=144000,20%)</f>
        <v>0.1</v>
      </c>
      <c r="L10" s="10" cm="1">
        <f t="array" ref="L10">_xlfn.IFS(J10&lt;=36000,0,AND(J10&gt;36000,J10&lt;=144000),2520,J10&gt;=144000,16920)</f>
        <v>2520</v>
      </c>
      <c r="M10" s="10">
        <f t="shared" si="1"/>
        <v>3510</v>
      </c>
      <c r="N10" s="10">
        <f t="shared" si="2"/>
        <v>670</v>
      </c>
    </row>
    <row r="11" spans="1:14" x14ac:dyDescent="0.25">
      <c r="I11" s="7">
        <v>10</v>
      </c>
      <c r="J11" s="10">
        <f t="shared" si="0"/>
        <v>67000</v>
      </c>
      <c r="K11" s="8" cm="1">
        <f t="array" ref="K11">_xlfn.IFS(J11&lt;=36000,3%,AND(J11&gt;36000,J11&lt;=144000),10%,J11&gt;=144000,20%)</f>
        <v>0.1</v>
      </c>
      <c r="L11" s="10" cm="1">
        <f t="array" ref="L11">_xlfn.IFS(J11&lt;=36000,0,AND(J11&gt;36000,J11&lt;=144000),2520,J11&gt;=144000,16920)</f>
        <v>2520</v>
      </c>
      <c r="M11" s="10">
        <f t="shared" si="1"/>
        <v>4180</v>
      </c>
      <c r="N11" s="10">
        <f t="shared" si="2"/>
        <v>670</v>
      </c>
    </row>
    <row r="12" spans="1:14" x14ac:dyDescent="0.25">
      <c r="I12" s="7">
        <v>11</v>
      </c>
      <c r="J12" s="10">
        <f t="shared" si="0"/>
        <v>73700</v>
      </c>
      <c r="K12" s="8" cm="1">
        <f t="array" ref="K12">_xlfn.IFS(J12&lt;=36000,3%,AND(J12&gt;36000,J12&lt;=144000),10%,J12&gt;=144000,20%)</f>
        <v>0.1</v>
      </c>
      <c r="L12" s="10" cm="1">
        <f t="array" ref="L12">_xlfn.IFS(J12&lt;=36000,0,AND(J12&gt;36000,J12&lt;=144000),2520,J12&gt;=144000,16920)</f>
        <v>2520</v>
      </c>
      <c r="M12" s="10">
        <f t="shared" si="1"/>
        <v>4850</v>
      </c>
      <c r="N12" s="10">
        <f t="shared" si="2"/>
        <v>670</v>
      </c>
    </row>
    <row r="13" spans="1:14" x14ac:dyDescent="0.25">
      <c r="I13" s="7">
        <v>12</v>
      </c>
      <c r="J13" s="10">
        <f>G$7*I13</f>
        <v>80400</v>
      </c>
      <c r="K13" s="8" cm="1">
        <f t="array" ref="K13">_xlfn.IFS(J13&lt;=36000,3%,AND(J13&gt;36000,J13&lt;=144000),10%,J13&gt;=144000,20%)</f>
        <v>0.1</v>
      </c>
      <c r="L13" s="10" cm="1">
        <f t="array" ref="L13">_xlfn.IFS(J13&lt;=36000,0,AND(J13&gt;36000,J13&lt;=144000),2520,J13&gt;=144000,16920)</f>
        <v>2520</v>
      </c>
      <c r="M13" s="10">
        <f t="shared" si="1"/>
        <v>5520</v>
      </c>
      <c r="N13" s="10">
        <f t="shared" si="2"/>
        <v>670</v>
      </c>
    </row>
  </sheetData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a407a2d-7675-4d17-8692-b3ac285306e4}" enabled="0" method="" siteId="{1a407a2d-7675-4d17-8692-b3ac285306e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税额速算</vt:lpstr>
    </vt:vector>
  </TitlesOfParts>
  <Company>Philips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Fan, Cindy</dc:creator>
  <cp:lastModifiedBy>Fan, Cindy</cp:lastModifiedBy>
  <dcterms:created xsi:type="dcterms:W3CDTF">2026-01-13T07:37:16Z</dcterms:created>
  <dcterms:modified xsi:type="dcterms:W3CDTF">2026-07-03T03:13:14Z</dcterms:modified>
</cp:coreProperties>
</file>